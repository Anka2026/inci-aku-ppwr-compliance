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SEARCH" sheetId="2" state="visible" r:id="rId2"/>
    <sheet xmlns:r="http://schemas.openxmlformats.org/officeDocument/2006/relationships" name="SEARCH_DATA" sheetId="3" state="visible" r:id="rId3"/>
    <sheet xmlns:r="http://schemas.openxmlformats.org/officeDocument/2006/relationships" name="DOCUMENT_CENTER" sheetId="4" state="visible" r:id="rId4"/>
    <sheet xmlns:r="http://schemas.openxmlformats.org/officeDocument/2006/relationships" name="QA" sheetId="5" state="visible" r:id="rId5"/>
  </sheets>
  <definedNames>
    <definedName name="_xlnm._FilterDatabase" localSheetId="2" hidden="1">'SEARCH_DATA'!$A$1:$E$2</definedName>
    <definedName name="_xlnm._FilterDatabase" localSheetId="3" hidden="1">'DOCUMENT_CENTER'!$A$4:$M$5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0E2A47"/>
      <sz val="18"/>
    </font>
    <font>
      <name val="Tahoma"/>
      <color rgb="001F4E79"/>
      <sz val="10"/>
    </font>
    <font>
      <name val="Tahoma"/>
      <b val="1"/>
      <color rgb="00FFFFFF"/>
      <sz val="10"/>
    </font>
    <font>
      <name val="Tahoma"/>
      <color rgb="001C2430"/>
      <sz val="10"/>
    </font>
    <font>
      <name val="Tahoma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7A4C"/>
      </patternFill>
    </fill>
    <fill>
      <patternFill patternType="solid">
        <fgColor rgb="00F3F6F9"/>
      </patternFill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6" customWidth="1" min="3" max="3"/>
  </cols>
  <sheetData>
    <row r="2">
      <c r="B2" s="1" t="inlineStr">
        <is>
          <t>PPWR CANDIDATE DOCUMENT ENGINE</t>
        </is>
      </c>
    </row>
    <row r="3">
      <c r="B3" s="2" t="inlineStr">
        <is>
          <t>Candidates only  •  Rev.00 draft  •  Publish 11.08.2026  •  2026-08-18 11:11 UTC</t>
        </is>
      </c>
    </row>
    <row r="5">
      <c r="B5" t="inlineStr">
        <is>
          <t>QA STATUS</t>
        </is>
      </c>
      <c r="C5" s="3" t="inlineStr">
        <is>
          <t>PASS</t>
        </is>
      </c>
    </row>
    <row r="6">
      <c r="B6" t="inlineStr">
        <is>
          <t>RECORDS</t>
        </is>
      </c>
      <c r="C6" t="n">
        <v>1</v>
      </c>
    </row>
    <row r="7">
      <c r="B7" t="inlineStr">
        <is>
          <t>DOCX+PDF</t>
        </is>
      </c>
      <c r="C7" t="n">
        <v>8</v>
      </c>
    </row>
    <row r="8">
      <c r="B8" t="inlineStr">
        <is>
          <t>LINK RULE</t>
        </is>
      </c>
      <c r="C8" t="inlineStr">
        <is>
          <t>RELATIVE from 00_CONTROL</t>
        </is>
      </c>
    </row>
    <row r="9">
      <c r="B9" t="inlineStr">
        <is>
          <t>OPEN RULE</t>
        </is>
      </c>
      <c r="C9" t="inlineStr">
        <is>
          <t>00_AC_DOCUMENT_ENGINE.cmd ONLY</t>
        </is>
      </c>
    </row>
    <row r="11">
      <c r="B11" s="4" t="inlineStr">
        <is>
          <t>• Frozen Rev.00 deliveries are NOT modified
• SEARCH → Key → OPEN WORD / OPEN PDF
• DOCUMENT CENTER → full register
• Links: ../01_PRODUCTS/&lt;key&gt;/&lt;file&gt; (do not move engine)
• Every pack: DOCX + PDF (LibreOffice PDF)</t>
        </is>
      </c>
    </row>
    <row r="12"/>
    <row r="13"/>
    <row r="14"/>
    <row r="15"/>
    <row r="16"/>
  </sheetData>
  <mergeCells count="1">
    <mergeCell ref="B11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</cols>
  <sheetData>
    <row r="1">
      <c r="A1" s="1" t="inlineStr">
        <is>
          <t>GLOBAL KEY SEARCH</t>
        </is>
      </c>
    </row>
    <row r="3">
      <c r="A3" t="inlineStr">
        <is>
          <t>Key</t>
        </is>
      </c>
      <c r="B3" s="5" t="inlineStr"/>
    </row>
    <row r="5">
      <c r="A5" t="inlineStr">
        <is>
          <t>Result Key</t>
        </is>
      </c>
      <c r="B5">
        <f>IF($B$3="","",IFERROR(INDEX(SEARCH_DATA!A:A,MATCH($B$3,SEARCH_DATA!A:A,0)),"NOT FOUND"))</f>
        <v/>
      </c>
    </row>
    <row r="6">
      <c r="A6" t="inlineStr">
        <is>
          <t>Description</t>
        </is>
      </c>
      <c r="B6">
        <f>IF(OR($B$5="",$B$5="NOT FOUND"),"",IFERROR(INDEX(SEARCH_DATA!B:B,MATCH($B$3,SEARCH_DATA!A:A,0)),""))</f>
        <v/>
      </c>
    </row>
    <row r="7">
      <c r="A7" t="inlineStr">
        <is>
          <t>Set</t>
        </is>
      </c>
      <c r="B7">
        <f>IF(OR($B$5="",$B$5="NOT FOUND"),"",IFERROR(INDEX(SEARCH_DATA!C:C,MATCH($B$3,SEARCH_DATA!A:A,0)),""))</f>
        <v/>
      </c>
    </row>
    <row r="8">
      <c r="A8" t="inlineStr">
        <is>
          <t>Status</t>
        </is>
      </c>
      <c r="B8">
        <f>IF(OR($B$5="",$B$5="NOT FOUND"),"",IFERROR(INDEX(SEARCH_DATA!D:D,MATCH($B$3,SEARCH_DATA!A:A,0)),""))</f>
        <v/>
      </c>
    </row>
    <row r="10">
      <c r="A10" s="6" t="inlineStr">
        <is>
          <t>Document</t>
        </is>
      </c>
      <c r="B10" s="6" t="inlineStr">
        <is>
          <t>OPEN WORD</t>
        </is>
      </c>
      <c r="C10" s="6" t="inlineStr">
        <is>
          <t>OPEN PDF</t>
        </is>
      </c>
    </row>
    <row r="11">
      <c r="A11" s="7" t="inlineStr">
        <is>
          <t>Technical File</t>
        </is>
      </c>
      <c r="B11" s="8">
        <f>IF(OR($B$5="",$B$5="NOT FOUND"),"",HYPERLINK("../01_PRODUCTS/"&amp;$B$5&amp;"\01_Technical_File.docx","OPEN WORD"))</f>
        <v/>
      </c>
      <c r="C11" s="8">
        <f>IF(OR($B$5="",$B$5="NOT FOUND"),"",HYPERLINK("../01_PRODUCTS/"&amp;$B$5&amp;"\01_Technical_File.pdf","OPEN PDF"))</f>
        <v/>
      </c>
    </row>
    <row r="12">
      <c r="A12" s="7" t="inlineStr">
        <is>
          <t>EU DoC</t>
        </is>
      </c>
      <c r="B12" s="8">
        <f>IF(OR($B$5="",$B$5="NOT FOUND"),"",HYPERLINK("../01_PRODUCTS/"&amp;$B$5&amp;"\02_EU_DoC.docx","OPEN WORD"))</f>
        <v/>
      </c>
      <c r="C12" s="8">
        <f>IF(OR($B$5="",$B$5="NOT FOUND"),"",HYPERLINK("../01_PRODUCTS/"&amp;$B$5&amp;"\02_EU_DoC.pdf","OPEN PDF"))</f>
        <v/>
      </c>
    </row>
    <row r="13">
      <c r="A13" s="7" t="inlineStr">
        <is>
          <t>Label</t>
        </is>
      </c>
      <c r="B13" s="8">
        <f>IF(OR($B$5="",$B$5="NOT FOUND"),"",HYPERLINK("../01_PRODUCTS/"&amp;$B$5&amp;"\03_Label.docx","OPEN WORD"))</f>
        <v/>
      </c>
      <c r="C13" s="8">
        <f>IF(OR($B$5="",$B$5="NOT FOUND"),"",HYPERLINK("../01_PRODUCTS/"&amp;$B$5&amp;"\03_Label.pdf","OPEN PDF"))</f>
        <v/>
      </c>
    </row>
    <row r="14">
      <c r="A14" s="7" t="inlineStr">
        <is>
          <t>Shipment Statement</t>
        </is>
      </c>
      <c r="B14" s="8">
        <f>IF(OR($B$5="",$B$5="NOT FOUND"),"",HYPERLINK("../01_PRODUCTS/"&amp;$B$5&amp;"\04_Shipment_Statement.docx","OPEN WORD"))</f>
        <v/>
      </c>
      <c r="C14" s="8">
        <f>IF(OR($B$5="",$B$5="NOT FOUND"),"",HYPERLINK("../01_PRODUCTS/"&amp;$B$5&amp;"\04_Shipment_Statement.pdf","OPEN PDF"))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9" t="inlineStr">
        <is>
          <t>Key</t>
        </is>
      </c>
      <c r="B1" s="9" t="inlineStr">
        <is>
          <t>Description</t>
        </is>
      </c>
      <c r="C1" s="9" t="inlineStr">
        <is>
          <t>Set Code</t>
        </is>
      </c>
      <c r="D1" s="9" t="inlineStr">
        <is>
          <t>Status</t>
        </is>
      </c>
      <c r="E1" s="9" t="inlineStr">
        <is>
          <t>Revision</t>
        </is>
      </c>
    </row>
    <row r="2">
      <c r="A2" s="10" t="inlineStr">
        <is>
          <t>1000069</t>
        </is>
      </c>
      <c r="B2" s="10" t="inlineStr">
        <is>
          <t>AKÜ,C-FLAT,DK,200AH,İNCİ SUPRA SENTOR</t>
        </is>
      </c>
      <c r="C2" s="10" t="inlineStr">
        <is>
          <t>ST-021-STD-03</t>
        </is>
      </c>
      <c r="D2" s="10" t="inlineStr">
        <is>
          <t>ISSUED Rev.00</t>
        </is>
      </c>
      <c r="E2" s="10" t="inlineStr">
        <is>
          <t>R00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DOCUMENT CENTER — CANDIDATE REGISTER</t>
        </is>
      </c>
    </row>
    <row r="2">
      <c r="A2" s="7" t="inlineStr">
        <is>
          <t>Relative links from 00_CONTROL -&gt; ../01_PRODUCTS/&lt;key&gt;/  ·  Records: 1  ·  Open via 00_AC_DOCUMENT_ENGINE.cmd</t>
        </is>
      </c>
    </row>
    <row r="4">
      <c r="A4" s="9" t="inlineStr">
        <is>
          <t>Key</t>
        </is>
      </c>
      <c r="B4" s="9" t="inlineStr">
        <is>
          <t>Description</t>
        </is>
      </c>
      <c r="C4" s="9" t="inlineStr">
        <is>
          <t>Set Code</t>
        </is>
      </c>
      <c r="D4" s="9" t="inlineStr">
        <is>
          <t>Status</t>
        </is>
      </c>
      <c r="E4" s="9" t="inlineStr">
        <is>
          <t>Revision</t>
        </is>
      </c>
      <c r="F4" s="9" t="inlineStr">
        <is>
          <t>TF WORD</t>
        </is>
      </c>
      <c r="G4" s="9" t="inlineStr">
        <is>
          <t>TF PDF</t>
        </is>
      </c>
      <c r="H4" s="9" t="inlineStr">
        <is>
          <t>DoC WORD</t>
        </is>
      </c>
      <c r="I4" s="9" t="inlineStr">
        <is>
          <t>DoC PDF</t>
        </is>
      </c>
      <c r="J4" s="9" t="inlineStr">
        <is>
          <t>Label WORD</t>
        </is>
      </c>
      <c r="K4" s="9" t="inlineStr">
        <is>
          <t>Label PDF</t>
        </is>
      </c>
      <c r="L4" s="9" t="inlineStr">
        <is>
          <t>STM WORD</t>
        </is>
      </c>
      <c r="M4" s="9" t="inlineStr">
        <is>
          <t>STM PDF</t>
        </is>
      </c>
    </row>
    <row r="5">
      <c r="A5" s="10" t="inlineStr">
        <is>
          <t>1000069</t>
        </is>
      </c>
      <c r="B5" s="10" t="inlineStr">
        <is>
          <t>AKÜ,C-FLAT,DK,200AH,İNCİ SUPRA SENTOR</t>
        </is>
      </c>
      <c r="C5" s="10" t="inlineStr">
        <is>
          <t>ST-021-STD-03</t>
        </is>
      </c>
      <c r="D5" s="11" t="inlineStr">
        <is>
          <t>ISSUED</t>
        </is>
      </c>
      <c r="E5" s="12" t="inlineStr">
        <is>
          <t>R00</t>
        </is>
      </c>
      <c r="F5" s="13">
        <f>HYPERLINK("..\01_PRODUCTS\1000069\01_Technical_File.docx","OPEN WORD")</f>
        <v/>
      </c>
      <c r="G5" s="13">
        <f>HYPERLINK("..\01_PRODUCTS\1000069\01_Technical_File.pdf","OPEN PDF")</f>
        <v/>
      </c>
      <c r="H5" s="13">
        <f>HYPERLINK("..\01_PRODUCTS\1000069\02_EU_DoC.docx","OPEN WORD")</f>
        <v/>
      </c>
      <c r="I5" s="13">
        <f>HYPERLINK("..\01_PRODUCTS\1000069\02_EU_DoC.pdf","OPEN PDF")</f>
        <v/>
      </c>
      <c r="J5" s="13">
        <f>HYPERLINK("..\01_PRODUCTS\1000069\03_Label.docx","OPEN WORD")</f>
        <v/>
      </c>
      <c r="K5" s="13">
        <f>HYPERLINK("..\01_PRODUCTS\1000069\03_Label.pdf","OPEN PDF")</f>
        <v/>
      </c>
      <c r="L5" s="13">
        <f>HYPERLINK("..\01_PRODUCTS\1000069\04_Shipment_Statement.docx","OPEN WORD")</f>
        <v/>
      </c>
      <c r="M5" s="13">
        <f>HYPERLINK("..\01_PRODUCTS\1000069\04_Shipment_Statement.pdf","OPEN PDF")</f>
        <v/>
      </c>
    </row>
  </sheetData>
  <autoFilter ref="A4:M5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 — CANDIDATE ENGINE</t>
        </is>
      </c>
    </row>
    <row r="3">
      <c r="A3" t="inlineStr">
        <is>
          <t>Link targets checked</t>
        </is>
      </c>
      <c r="B3" t="n">
        <v>8</v>
      </c>
    </row>
    <row r="4">
      <c r="A4" t="inlineStr">
        <is>
          <t>Missing</t>
        </is>
      </c>
      <c r="B4" t="n">
        <v>0</v>
      </c>
    </row>
    <row r="5">
      <c r="A5" t="inlineStr">
        <is>
          <t>Result</t>
        </is>
      </c>
      <c r="B5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2026-08-18T11:11:59Z</dcterms:created>
  <dcterms:modified xmlns:dcterms="http://purl.org/dc/terms/" xmlns:xsi="http://www.w3.org/2001/XMLSchema-instance" xsi:type="dcterms:W3CDTF">2026-08-18T11:11:59Z</dcterms:modified>
</cp:coreProperties>
</file>